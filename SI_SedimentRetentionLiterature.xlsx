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rive\2026 Delta SedimentRetention\code\"/>
    </mc:Choice>
  </mc:AlternateContent>
  <xr:revisionPtr revIDLastSave="0" documentId="13_ncr:1_{6AD2B676-8C4D-4E1A-8737-C438C19DB0E6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23" i="1"/>
  <c r="K15" i="1"/>
  <c r="K14" i="1"/>
  <c r="K13" i="1"/>
  <c r="K11" i="1"/>
  <c r="K4" i="1"/>
  <c r="K7" i="1"/>
  <c r="K6" i="1"/>
  <c r="K5" i="1"/>
  <c r="K3" i="1"/>
  <c r="J20" i="1"/>
  <c r="I20" i="1" s="1"/>
  <c r="H20" i="1"/>
  <c r="F20" i="1"/>
  <c r="G20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1" i="1"/>
  <c r="J22" i="1"/>
  <c r="J23" i="1"/>
  <c r="J2" i="1"/>
  <c r="G23" i="1"/>
  <c r="G18" i="1"/>
  <c r="K18" i="1" s="1"/>
  <c r="G14" i="1"/>
  <c r="G15" i="1"/>
  <c r="G16" i="1"/>
  <c r="K16" i="1" s="1"/>
  <c r="G13" i="1"/>
  <c r="G7" i="1"/>
  <c r="G9" i="1"/>
  <c r="G5" i="1"/>
  <c r="G6" i="1"/>
  <c r="G3" i="1"/>
  <c r="F19" i="1"/>
  <c r="G19" i="1" s="1"/>
  <c r="K19" i="1" s="1"/>
  <c r="F8" i="1"/>
  <c r="G8" i="1" s="1"/>
  <c r="F11" i="1"/>
  <c r="G11" i="1" s="1"/>
  <c r="F22" i="1"/>
  <c r="E22" i="1" s="1"/>
  <c r="H8" i="1"/>
  <c r="K17" i="1"/>
  <c r="K2" i="1"/>
  <c r="E16" i="1"/>
  <c r="E14" i="1"/>
  <c r="E23" i="1"/>
  <c r="E18" i="1"/>
  <c r="E15" i="1"/>
  <c r="E9" i="1"/>
  <c r="E13" i="1"/>
  <c r="K8" i="1" l="1"/>
  <c r="K20" i="1"/>
  <c r="G4" i="1"/>
  <c r="G22" i="1"/>
  <c r="K22" i="1" s="1"/>
  <c r="E19" i="1"/>
  <c r="F21" i="1" l="1"/>
  <c r="G21" i="1" l="1"/>
  <c r="K21" i="1"/>
</calcChain>
</file>

<file path=xl/sharedStrings.xml><?xml version="1.0" encoding="utf-8"?>
<sst xmlns="http://schemas.openxmlformats.org/spreadsheetml/2006/main" count="56" uniqueCount="36">
  <si>
    <t>Amazon</t>
  </si>
  <si>
    <t>Lena</t>
  </si>
  <si>
    <t>Mississippi</t>
  </si>
  <si>
    <t>Ob</t>
  </si>
  <si>
    <t>Ganges-Brahmaputra</t>
  </si>
  <si>
    <t>Rhine-Meuse</t>
  </si>
  <si>
    <t>Waipaoa</t>
  </si>
  <si>
    <t>Brazos</t>
  </si>
  <si>
    <t>Burdekin</t>
  </si>
  <si>
    <t>Danube</t>
  </si>
  <si>
    <t>Mahakam</t>
  </si>
  <si>
    <t>Mekong</t>
  </si>
  <si>
    <t>Fraser</t>
  </si>
  <si>
    <t>Llobregat</t>
  </si>
  <si>
    <t>Kura</t>
  </si>
  <si>
    <t>Guadiana</t>
  </si>
  <si>
    <t>Niger</t>
  </si>
  <si>
    <t>Po</t>
  </si>
  <si>
    <t>Tiber</t>
  </si>
  <si>
    <t>BasinID2</t>
  </si>
  <si>
    <t>delta plain sediment volume (km3)</t>
  </si>
  <si>
    <t>delta plain depth (m)</t>
  </si>
  <si>
    <t>total delta sediment volume (km3)</t>
  </si>
  <si>
    <t>fluvial sediment load (kg/s)</t>
  </si>
  <si>
    <t>Delta name</t>
  </si>
  <si>
    <t>Delta plain area (km2)</t>
  </si>
  <si>
    <t>Yangtze</t>
  </si>
  <si>
    <t>MacKenzie</t>
  </si>
  <si>
    <t>measurement timescale (yr)</t>
  </si>
  <si>
    <t>fluvial sediment load (m3/yr)</t>
  </si>
  <si>
    <t>delta plain depositional flux (m3/yr)</t>
  </si>
  <si>
    <t>San Juan</t>
  </si>
  <si>
    <t>Note</t>
  </si>
  <si>
    <t>Retention from river flux</t>
  </si>
  <si>
    <t>Retention from whole delta sediment budget</t>
  </si>
  <si>
    <t>retention_literature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</si>
</sst>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0.0E+0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wrapText="1"/>
    </xf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" fontId="2" fillId="0" borderId="0" xfId="0" applyNumberFormat="1" applyFont="1"/>
    <xf numFmtId="1" fontId="2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1" fontId="0" fillId="0" borderId="0" xfId="0" applyNumberFormat="1"/>
    <xf numFmtId="164" fontId="2" fillId="0" borderId="0" xfId="0" applyNumberFormat="1" applyFont="1" applyAlignment="1">
      <alignment wrapText="1"/>
    </xf>
    <xf numFmtId="166" fontId="0" fillId="0" borderId="0" xfId="0" applyNumberFormat="1"/>
    <xf numFmtId="166" fontId="2" fillId="0" borderId="0" xfId="0" applyNumberFormat="1" applyFont="1" applyAlignment="1">
      <alignment wrapText="1"/>
    </xf>
  </cellXfs>
  <cellStyles count="1">
    <cellStyle name="Normal" xfId="0" builtinId="0"/>
  </cellStyles>
  <dxfs count="22">
    <dxf>
      <numFmt numFmtId="2" formatCode="0.00"/>
    </dxf>
    <dxf>
      <numFmt numFmtId="166" formatCode="0.0E+00"/>
    </dxf>
    <dxf>
      <numFmt numFmtId="1" formatCode="0"/>
    </dxf>
    <dxf>
      <numFmt numFmtId="1" formatCode="0"/>
    </dxf>
    <dxf>
      <numFmt numFmtId="1" formatCode="0"/>
    </dxf>
    <dxf>
      <numFmt numFmtId="166" formatCode="0.0E+0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E+00"/>
      <alignment horizontal="general" vertical="bottom" textRotation="0" wrapText="1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font>
        <color auto="1"/>
      </font>
      <numFmt numFmtId="1" formatCode="0"/>
      <alignment horizontal="general" vertical="bottom" textRotation="0" wrapText="1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BC5EC-96E2-4239-8E7B-042311547202}" name="Table1" displayName="Table1" ref="A1:L23">
  <autoFilter ref="A1:L23" xr:uid="{A98BC5EC-96E2-4239-8E7B-042311547202}"/>
  <sortState xmlns:xlrd2="http://schemas.microsoft.com/office/spreadsheetml/2017/richdata2" ref="A2:L23">
    <sortCondition ref="A1:A23"/>
  </sortState>
  <tableColumns count="12">
    <tableColumn id="2" xr3:uid="{36C71CE3-05DA-444F-B831-BB064736BDE2}" name="Delta name" dataDxfId="21" totalsRowDxfId="20"/>
    <tableColumn id="1" xr3:uid="{8D0AB109-79B6-4ADE-915B-10A1542862D2}" name="BasinID2" dataDxfId="19" totalsRowDxfId="18"/>
    <tableColumn id="8" xr3:uid="{064C9B8C-634D-40C0-A69C-25F006A7C998}" name="measurement timescale (yr)" dataDxfId="17" totalsRowDxfId="16"/>
    <tableColumn id="3" xr3:uid="{A76616DE-999B-4B10-BD2E-167CD6EF6A1F}" name="Delta plain area (km2)" dataDxfId="15" totalsRowDxfId="14"/>
    <tableColumn id="5" xr3:uid="{5468F83B-08E7-4FE2-83A9-483969FF546E}" name="delta plain depth (m)" dataDxfId="13" totalsRowDxfId="12"/>
    <tableColumn id="4" xr3:uid="{716600B5-B65B-459F-B30C-262DD3098B06}" name="delta plain sediment volume (km3)" dataDxfId="11" totalsRowDxfId="10"/>
    <tableColumn id="17" xr3:uid="{0BB0624E-D5E1-43B6-B468-B307FE923BDF}" name="delta plain depositional flux (m3/yr)" dataDxfId="9" totalsRowDxfId="8">
      <calculatedColumnFormula>1000000000*Table1[[#This Row],[delta plain sediment volume (km3)]]/Table1[[#This Row],[measurement timescale (yr)]]</calculatedColumnFormula>
    </tableColumn>
    <tableColumn id="6" xr3:uid="{B3856A62-F827-473C-9AEB-18C1CFDFCC55}" name="total delta sediment volume (km3)" dataDxfId="7" totalsRowDxfId="6"/>
    <tableColumn id="7" xr3:uid="{34133183-FBD6-4090-95F1-B0A83A15D3AC}" name="fluvial sediment load (m3/yr)" dataDxfId="5" totalsRowDxfId="4"/>
    <tableColumn id="21" xr3:uid="{A292E952-A2CA-427B-952D-670332A430EE}" name="fluvial sediment load (kg/s)" dataDxfId="1" totalsRowDxfId="3">
      <calculatedColumnFormula>Table1[[#This Row],[fluvial sediment load (m3/yr)]]/365/3600/24*1600</calculatedColumnFormula>
    </tableColumn>
    <tableColumn id="10" xr3:uid="{E802D308-DBC2-4EBF-8313-7A1A6EFDD24B}" name="retention_literature" dataDxfId="0" totalsRowDxfId="2"/>
    <tableColumn id="12" xr3:uid="{4DB951B8-ADC3-4F00-A5D9-8EE2CC9AFC86}" name="No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workbookViewId="0">
      <pane xSplit="1" topLeftCell="F1" activePane="topRight" state="frozen"/>
      <selection pane="topRight" activeCell="K29" sqref="K29"/>
    </sheetView>
  </sheetViews>
  <sheetFormatPr defaultRowHeight="15" x14ac:dyDescent="0.25"/>
  <cols>
    <col min="1" max="1" width="16.28515625" customWidth="1"/>
    <col min="2" max="3" width="22.5703125" customWidth="1"/>
    <col min="4" max="4" width="16.28515625" customWidth="1"/>
    <col min="5" max="6" width="22.5703125" customWidth="1"/>
    <col min="7" max="7" width="26.5703125" customWidth="1"/>
    <col min="8" max="8" width="19.5703125" customWidth="1"/>
    <col min="9" max="10" width="11.85546875" customWidth="1"/>
    <col min="11" max="11" width="30.28515625" customWidth="1"/>
  </cols>
  <sheetData>
    <row r="1" spans="1:15" x14ac:dyDescent="0.25">
      <c r="A1" s="4" t="s">
        <v>24</v>
      </c>
      <c r="B1" t="s">
        <v>19</v>
      </c>
      <c r="C1" t="s">
        <v>28</v>
      </c>
      <c r="D1" t="s">
        <v>25</v>
      </c>
      <c r="E1" t="s">
        <v>21</v>
      </c>
      <c r="F1" t="s">
        <v>20</v>
      </c>
      <c r="G1" t="s">
        <v>30</v>
      </c>
      <c r="H1" t="s">
        <v>22</v>
      </c>
      <c r="I1" t="s">
        <v>29</v>
      </c>
      <c r="J1" t="s">
        <v>23</v>
      </c>
      <c r="K1" t="s">
        <v>35</v>
      </c>
      <c r="L1" t="s">
        <v>32</v>
      </c>
    </row>
    <row r="2" spans="1:15" x14ac:dyDescent="0.25">
      <c r="A2" s="1" t="s">
        <v>0</v>
      </c>
      <c r="B2">
        <v>540974</v>
      </c>
      <c r="C2" s="7">
        <v>15</v>
      </c>
      <c r="D2" s="5">
        <v>84429</v>
      </c>
      <c r="E2" s="6"/>
      <c r="F2" s="6"/>
      <c r="G2" s="13"/>
      <c r="H2" s="6"/>
      <c r="I2" s="12">
        <v>758066309.99999988</v>
      </c>
      <c r="J2" s="12">
        <f>Table1[[#This Row],[fluvial sediment load (m3/yr)]]/365/3600/24*1600</f>
        <v>38460.999999999993</v>
      </c>
      <c r="K2" s="8">
        <f>350/850</f>
        <v>0.41176470588235292</v>
      </c>
      <c r="L2" t="s">
        <v>33</v>
      </c>
      <c r="M2" s="8"/>
    </row>
    <row r="3" spans="1:15" x14ac:dyDescent="0.25">
      <c r="A3" s="1" t="s">
        <v>7</v>
      </c>
      <c r="B3">
        <v>4281751</v>
      </c>
      <c r="C3" s="7">
        <v>86</v>
      </c>
      <c r="D3" s="5">
        <v>770</v>
      </c>
      <c r="E3" s="6">
        <v>5</v>
      </c>
      <c r="F3" s="11">
        <v>5.9355611165364586E-2</v>
      </c>
      <c r="G3" s="13">
        <f>1000000000*Table1[[#This Row],[delta plain sediment volume (km3)]]/Table1[[#This Row],[measurement timescale (yr)]]</f>
        <v>690181.52517865796</v>
      </c>
      <c r="H3" s="6">
        <v>1.2117512274848092</v>
      </c>
      <c r="I3" s="12">
        <v>14367407.400000002</v>
      </c>
      <c r="J3" s="12">
        <f>Table1[[#This Row],[fluvial sediment load (m3/yr)]]/365/3600/24*1600</f>
        <v>728.94000000000017</v>
      </c>
      <c r="K3" s="8">
        <f>Table1[[#This Row],[delta plain sediment volume (km3)]]/Table1[[#This Row],[total delta sediment volume (km3)]]</f>
        <v>4.8983330752275782E-2</v>
      </c>
      <c r="L3" t="s">
        <v>34</v>
      </c>
      <c r="M3" s="8"/>
    </row>
    <row r="4" spans="1:15" x14ac:dyDescent="0.25">
      <c r="A4" s="1" t="s">
        <v>8</v>
      </c>
      <c r="B4">
        <v>866167</v>
      </c>
      <c r="C4" s="7">
        <v>8900</v>
      </c>
      <c r="D4" s="6">
        <v>854</v>
      </c>
      <c r="E4" s="6">
        <v>1</v>
      </c>
      <c r="F4" s="11">
        <v>1.3</v>
      </c>
      <c r="G4" s="13">
        <f>1000000000*Table1[[#This Row],[delta plain sediment volume (km3)]]/Table1[[#This Row],[measurement timescale (yr)]]</f>
        <v>146067.41573033709</v>
      </c>
      <c r="H4" s="6">
        <v>43.862499999999997</v>
      </c>
      <c r="I4" s="12">
        <v>7095600</v>
      </c>
      <c r="J4" s="12">
        <f>Table1[[#This Row],[fluvial sediment load (m3/yr)]]/365/3600/24*1600</f>
        <v>360</v>
      </c>
      <c r="K4" s="8">
        <f>Table1[[#This Row],[delta plain sediment volume (km3)]]/Table1[[#This Row],[total delta sediment volume (km3)]]</f>
        <v>2.9638073525220864E-2</v>
      </c>
      <c r="L4" t="s">
        <v>34</v>
      </c>
      <c r="M4" s="8"/>
    </row>
    <row r="5" spans="1:15" x14ac:dyDescent="0.25">
      <c r="A5" s="1" t="s">
        <v>9</v>
      </c>
      <c r="B5">
        <v>1832055</v>
      </c>
      <c r="C5" s="7">
        <v>5200</v>
      </c>
      <c r="D5" s="7">
        <v>5201.5582747431044</v>
      </c>
      <c r="E5" s="6">
        <v>7</v>
      </c>
      <c r="F5" s="2">
        <v>260.0779137371552</v>
      </c>
      <c r="G5" s="13">
        <f>1000000000*Table1[[#This Row],[delta plain sediment volume (km3)]]/Table1[[#This Row],[measurement timescale (yr)]]</f>
        <v>50014983.410991386</v>
      </c>
      <c r="H5" s="6">
        <v>395.2889653190914</v>
      </c>
      <c r="I5" s="12">
        <v>84650508</v>
      </c>
      <c r="J5" s="12">
        <f>Table1[[#This Row],[fluvial sediment load (m3/yr)]]/365/3600/24*1600</f>
        <v>4294.8</v>
      </c>
      <c r="K5" s="8">
        <f>Table1[[#This Row],[delta plain sediment volume (km3)]]/Table1[[#This Row],[total delta sediment volume (km3)]]</f>
        <v>0.65794377418861416</v>
      </c>
      <c r="L5" t="s">
        <v>34</v>
      </c>
      <c r="M5" s="8"/>
    </row>
    <row r="6" spans="1:15" x14ac:dyDescent="0.25">
      <c r="A6" s="1" t="s">
        <v>12</v>
      </c>
      <c r="B6">
        <v>2619721</v>
      </c>
      <c r="C6" s="7">
        <v>8900</v>
      </c>
      <c r="D6" s="5">
        <v>567.24651433361771</v>
      </c>
      <c r="E6" s="6">
        <v>12</v>
      </c>
      <c r="F6" s="11">
        <v>51.052186290025595</v>
      </c>
      <c r="G6" s="13">
        <f>1000000000*Table1[[#This Row],[delta plain sediment volume (km3)]]/Table1[[#This Row],[measurement timescale (yr)]]</f>
        <v>5736200.7067444492</v>
      </c>
      <c r="H6" s="6">
        <v>172.11785041633357</v>
      </c>
      <c r="I6" s="12">
        <v>25628913</v>
      </c>
      <c r="J6" s="12">
        <f>Table1[[#This Row],[fluvial sediment load (m3/yr)]]/365/3600/24*1600</f>
        <v>1300.3</v>
      </c>
      <c r="K6" s="8">
        <f>Table1[[#This Row],[delta plain sediment volume (km3)]]/Table1[[#This Row],[total delta sediment volume (km3)]]</f>
        <v>0.29661180503089102</v>
      </c>
      <c r="L6" t="s">
        <v>34</v>
      </c>
      <c r="M6" s="8"/>
    </row>
    <row r="7" spans="1:15" ht="30" x14ac:dyDescent="0.25">
      <c r="A7" s="1" t="s">
        <v>4</v>
      </c>
      <c r="B7">
        <v>2259146</v>
      </c>
      <c r="C7" s="7">
        <v>11000</v>
      </c>
      <c r="D7" s="5">
        <v>80174</v>
      </c>
      <c r="E7" s="6">
        <v>69</v>
      </c>
      <c r="F7" s="11">
        <v>6391.7730255473689</v>
      </c>
      <c r="G7" s="13">
        <f>1000000000*Table1[[#This Row],[delta plain sediment volume (km3)]]/Table1[[#This Row],[measurement timescale (yr)]]</f>
        <v>581070275.04976082</v>
      </c>
      <c r="H7" s="6">
        <v>8500</v>
      </c>
      <c r="I7" s="12">
        <v>700867890</v>
      </c>
      <c r="J7" s="12">
        <f>Table1[[#This Row],[fluvial sediment load (m3/yr)]]/365/3600/24*1600</f>
        <v>35559</v>
      </c>
      <c r="K7" s="8">
        <f>Table1[[#This Row],[delta plain sediment volume (km3)]]/Table1[[#This Row],[total delta sediment volume (km3)]]</f>
        <v>0.75197329712321992</v>
      </c>
      <c r="L7" t="s">
        <v>34</v>
      </c>
      <c r="M7" s="8"/>
    </row>
    <row r="8" spans="1:15" x14ac:dyDescent="0.25">
      <c r="A8" s="3" t="s">
        <v>15</v>
      </c>
      <c r="B8">
        <v>3021295</v>
      </c>
      <c r="C8" s="7">
        <v>5000</v>
      </c>
      <c r="D8" s="5">
        <v>80.787704913579034</v>
      </c>
      <c r="E8" s="6">
        <v>2</v>
      </c>
      <c r="F8" s="11">
        <f>Table1[[#This Row],[Delta plain area (km2)]]*Table1[[#This Row],[delta plain depth (m)]]/1000</f>
        <v>0.16157540982715807</v>
      </c>
      <c r="G8" s="13">
        <f>1000000000*Table1[[#This Row],[delta plain sediment volume (km3)]]/Table1[[#This Row],[measurement timescale (yr)]]</f>
        <v>32315.081965431611</v>
      </c>
      <c r="H8">
        <f>2490000000/1000000000</f>
        <v>2.4900000000000002</v>
      </c>
      <c r="I8" s="12">
        <v>1687176</v>
      </c>
      <c r="J8" s="12">
        <f>Table1[[#This Row],[fluvial sediment load (m3/yr)]]/365/3600/24*1600</f>
        <v>85.6</v>
      </c>
      <c r="K8" s="8">
        <f>Table1[[#This Row],[delta plain sediment volume (km3)]]/Table1[[#This Row],[total delta sediment volume (km3)]]</f>
        <v>6.488972282215183E-2</v>
      </c>
      <c r="L8" t="s">
        <v>34</v>
      </c>
      <c r="M8" s="8"/>
    </row>
    <row r="9" spans="1:15" x14ac:dyDescent="0.25">
      <c r="A9" s="1" t="s">
        <v>14</v>
      </c>
      <c r="B9">
        <v>2658885</v>
      </c>
      <c r="C9" s="7">
        <v>222</v>
      </c>
      <c r="D9" s="5">
        <v>306.20287555361841</v>
      </c>
      <c r="E9" s="6">
        <f>1000*F9/D9</f>
        <v>4</v>
      </c>
      <c r="F9" s="11">
        <v>1.2248115022144737</v>
      </c>
      <c r="G9" s="13">
        <f>1000000000*Table1[[#This Row],[delta plain sediment volume (km3)]]/Table1[[#This Row],[measurement timescale (yr)]]</f>
        <v>5517168.9288940262</v>
      </c>
      <c r="H9" s="6">
        <v>3.3753794879959074</v>
      </c>
      <c r="I9" s="12">
        <v>19908168.689080287</v>
      </c>
      <c r="J9" s="12">
        <f>Table1[[#This Row],[fluvial sediment load (m3/yr)]]/365/3600/24*1600</f>
        <v>1010.0542206534899</v>
      </c>
      <c r="K9" s="8">
        <f>Table1[[#This Row],[delta plain sediment volume (km3)]]/Table1[[#This Row],[total delta sediment volume (km3)]]</f>
        <v>0.36286631075716214</v>
      </c>
      <c r="L9" t="s">
        <v>34</v>
      </c>
      <c r="M9" s="8"/>
    </row>
    <row r="10" spans="1:15" x14ac:dyDescent="0.25">
      <c r="A10" s="1" t="s">
        <v>1</v>
      </c>
      <c r="B10">
        <v>3648</v>
      </c>
      <c r="C10" s="7"/>
      <c r="D10" s="5">
        <v>38781.6645888559</v>
      </c>
      <c r="E10" s="6"/>
      <c r="F10" s="11"/>
      <c r="G10" s="13"/>
      <c r="H10" s="6"/>
      <c r="I10" s="12">
        <v>107181009</v>
      </c>
      <c r="J10" s="12">
        <f>Table1[[#This Row],[fluvial sediment load (m3/yr)]]/365/3600/24*1600</f>
        <v>5437.9</v>
      </c>
      <c r="K10" s="8">
        <v>0.7</v>
      </c>
      <c r="L10" t="s">
        <v>33</v>
      </c>
      <c r="M10" s="8"/>
    </row>
    <row r="11" spans="1:15" x14ac:dyDescent="0.25">
      <c r="A11" s="1" t="s">
        <v>13</v>
      </c>
      <c r="B11">
        <v>2335045</v>
      </c>
      <c r="C11" s="7">
        <v>6800</v>
      </c>
      <c r="D11" s="5">
        <v>115.34165505446596</v>
      </c>
      <c r="E11" s="6">
        <v>2</v>
      </c>
      <c r="F11" s="11">
        <f>Table1[[#This Row],[Delta plain area (km2)]]*Table1[[#This Row],[delta plain depth (m)]]/1000</f>
        <v>0.23068331010893192</v>
      </c>
      <c r="G11" s="13">
        <f>1000000000*Table1[[#This Row],[delta plain sediment volume (km3)]]/Table1[[#This Row],[measurement timescale (yr)]]</f>
        <v>33924.016192489988</v>
      </c>
      <c r="H11" s="6">
        <v>9.3480576557209858</v>
      </c>
      <c r="I11" s="12">
        <v>856024.8942804219</v>
      </c>
      <c r="J11" s="12">
        <f>Table1[[#This Row],[fluvial sediment load (m3/yr)]]/365/3600/24*1600</f>
        <v>43.430994128889999</v>
      </c>
      <c r="K11" s="8">
        <f>Table1[[#This Row],[delta plain sediment volume (km3)]]/Table1[[#This Row],[total delta sediment volume (km3)]]</f>
        <v>2.4677138139788255E-2</v>
      </c>
      <c r="L11" t="s">
        <v>34</v>
      </c>
      <c r="M11" s="8"/>
    </row>
    <row r="12" spans="1:15" x14ac:dyDescent="0.25">
      <c r="A12" s="1" t="s">
        <v>27</v>
      </c>
      <c r="B12">
        <v>2528</v>
      </c>
      <c r="C12" s="7">
        <v>20</v>
      </c>
      <c r="D12" s="5">
        <v>2112.5739644970413</v>
      </c>
      <c r="E12" s="6"/>
      <c r="F12" s="11"/>
      <c r="G12" s="13"/>
      <c r="H12" s="6"/>
      <c r="I12" s="12">
        <v>79999999.999999985</v>
      </c>
      <c r="J12" s="12">
        <f>Table1[[#This Row],[fluvial sediment load (m3/yr)]]/365/3600/24*1600</f>
        <v>4058.8533739218669</v>
      </c>
      <c r="K12" s="8">
        <v>0.66</v>
      </c>
      <c r="L12" t="s">
        <v>33</v>
      </c>
      <c r="M12" s="8"/>
    </row>
    <row r="13" spans="1:15" x14ac:dyDescent="0.25">
      <c r="A13" s="1" t="s">
        <v>10</v>
      </c>
      <c r="B13">
        <v>5491396</v>
      </c>
      <c r="C13" s="7">
        <v>8300</v>
      </c>
      <c r="D13" s="7">
        <v>2800</v>
      </c>
      <c r="E13" s="6">
        <f>1000*F13/D13</f>
        <v>23.276913379413013</v>
      </c>
      <c r="F13" s="2">
        <v>65.175357462356445</v>
      </c>
      <c r="G13" s="13">
        <f>1000000000*Table1[[#This Row],[delta plain sediment volume (km3)]]/Table1[[#This Row],[measurement timescale (yr)]]</f>
        <v>7852452.7063080054</v>
      </c>
      <c r="H13" s="6">
        <v>176.0698214026736</v>
      </c>
      <c r="I13" s="12">
        <v>25657842.135200996</v>
      </c>
      <c r="J13" s="12">
        <f>Table1[[#This Row],[fluvial sediment load (m3/yr)]]/365/3600/24*1600</f>
        <v>1301.76773897519</v>
      </c>
      <c r="K13" s="8">
        <f>Table1[[#This Row],[delta plain sediment volume (km3)]]/Table1[[#This Row],[total delta sediment volume (km3)]]</f>
        <v>0.37016768088439012</v>
      </c>
      <c r="L13" t="s">
        <v>34</v>
      </c>
      <c r="M13" s="8"/>
    </row>
    <row r="14" spans="1:15" x14ac:dyDescent="0.25">
      <c r="A14" s="1" t="s">
        <v>11</v>
      </c>
      <c r="B14">
        <v>4050686</v>
      </c>
      <c r="C14" s="7">
        <v>8000</v>
      </c>
      <c r="D14" s="5">
        <v>39537.233560090703</v>
      </c>
      <c r="E14" s="6">
        <f>1000*F14/D14</f>
        <v>20.6</v>
      </c>
      <c r="F14" s="11">
        <v>814.46701133786848</v>
      </c>
      <c r="G14" s="13">
        <f>1000000000*Table1[[#This Row],[delta plain sediment volume (km3)]]/Table1[[#This Row],[measurement timescale (yr)]]</f>
        <v>101808376.41723357</v>
      </c>
      <c r="H14" s="6">
        <v>951.4646712018141</v>
      </c>
      <c r="I14" s="12">
        <v>99999999.999953985</v>
      </c>
      <c r="J14" s="12">
        <f>Table1[[#This Row],[fluvial sediment load (m3/yr)]]/365/3600/24*1600</f>
        <v>5073.5667173999982</v>
      </c>
      <c r="K14" s="8">
        <f>Table1[[#This Row],[delta plain sediment volume (km3)]]/Table1[[#This Row],[total delta sediment volume (km3)]]</f>
        <v>0.85601392882943184</v>
      </c>
      <c r="L14" t="s">
        <v>34</v>
      </c>
      <c r="M14" s="8"/>
    </row>
    <row r="15" spans="1:15" x14ac:dyDescent="0.25">
      <c r="A15" s="1" t="s">
        <v>2</v>
      </c>
      <c r="B15">
        <v>4267691</v>
      </c>
      <c r="C15" s="7">
        <v>12000</v>
      </c>
      <c r="D15" s="5">
        <v>30874.746948261596</v>
      </c>
      <c r="E15" s="6">
        <f>1000*F15/D15</f>
        <v>34.375561498654712</v>
      </c>
      <c r="F15" s="11">
        <v>1061.3367624753682</v>
      </c>
      <c r="G15" s="13">
        <f>1000000000*Table1[[#This Row],[delta plain sediment volume (km3)]]/Table1[[#This Row],[measurement timescale (yr)]]</f>
        <v>88444730.206280693</v>
      </c>
      <c r="H15" s="6">
        <v>2268.2269762384221</v>
      </c>
      <c r="I15" s="12">
        <v>250356420</v>
      </c>
      <c r="J15" s="12">
        <f>Table1[[#This Row],[fluvial sediment load (m3/yr)]]/365/3600/24*1600</f>
        <v>12702</v>
      </c>
      <c r="K15" s="8">
        <f>Table1[[#This Row],[delta plain sediment volume (km3)]]/Table1[[#This Row],[total delta sediment volume (km3)]]</f>
        <v>0.46791470765217064</v>
      </c>
      <c r="L15" t="s">
        <v>34</v>
      </c>
      <c r="M15" s="8"/>
      <c r="O15" s="2"/>
    </row>
    <row r="16" spans="1:15" x14ac:dyDescent="0.25">
      <c r="A16" s="1" t="s">
        <v>16</v>
      </c>
      <c r="B16">
        <v>908572</v>
      </c>
      <c r="C16" s="7">
        <v>8300</v>
      </c>
      <c r="D16" s="5">
        <v>13560.45718714903</v>
      </c>
      <c r="E16" s="6">
        <f>1000*F16/D16</f>
        <v>17.08071686069972</v>
      </c>
      <c r="F16" s="11">
        <v>231.62232971533314</v>
      </c>
      <c r="G16" s="13">
        <f>1000000000*Table1[[#This Row],[delta plain sediment volume (km3)]]/Table1[[#This Row],[measurement timescale (yr)]]</f>
        <v>27906304.784979895</v>
      </c>
      <c r="H16" s="6"/>
      <c r="I16" s="12">
        <v>269120340</v>
      </c>
      <c r="J16" s="12">
        <f>Table1[[#This Row],[fluvial sediment load (m3/yr)]]/365/3600/24*1600</f>
        <v>13654</v>
      </c>
      <c r="K16" s="8">
        <f>Table1[[#This Row],[delta plain depositional flux (m3/yr)]]/Table1[[#This Row],[fluvial sediment load (m3/yr)]]</f>
        <v>0.10369452113868426</v>
      </c>
      <c r="L16" t="s">
        <v>34</v>
      </c>
      <c r="M16" s="8"/>
      <c r="O16" s="2"/>
    </row>
    <row r="17" spans="1:15" x14ac:dyDescent="0.25">
      <c r="A17" s="1" t="s">
        <v>3</v>
      </c>
      <c r="B17">
        <v>1948</v>
      </c>
      <c r="C17" s="7">
        <v>30</v>
      </c>
      <c r="D17" s="7">
        <v>4102</v>
      </c>
      <c r="E17" s="6"/>
      <c r="F17" s="2"/>
      <c r="G17" s="13"/>
      <c r="H17" s="7"/>
      <c r="I17" s="12">
        <v>17750000.000000004</v>
      </c>
      <c r="J17" s="12">
        <f>Table1[[#This Row],[fluvial sediment load (m3/yr)]]/365/3600/24*1600</f>
        <v>900.55809233891443</v>
      </c>
      <c r="K17" s="8">
        <f>(28.4-16.2)/28.4</f>
        <v>0.42957746478873238</v>
      </c>
      <c r="L17" t="s">
        <v>33</v>
      </c>
      <c r="M17" s="8"/>
      <c r="O17" s="2"/>
    </row>
    <row r="18" spans="1:15" ht="15.75" customHeight="1" x14ac:dyDescent="0.25">
      <c r="A18" s="1" t="s">
        <v>17</v>
      </c>
      <c r="B18">
        <v>1873515</v>
      </c>
      <c r="C18" s="7">
        <v>7100</v>
      </c>
      <c r="D18" s="5">
        <v>2038.0254716077752</v>
      </c>
      <c r="E18" s="6">
        <f>1000*F18/D18</f>
        <v>22.526791679783489</v>
      </c>
      <c r="F18" s="11">
        <v>45.910175237000857</v>
      </c>
      <c r="G18" s="13">
        <f>1000000000*Table1[[#This Row],[delta plain sediment volume (km3)]]/Table1[[#This Row],[measurement timescale (yr)]]</f>
        <v>6466221.8643663172</v>
      </c>
      <c r="H18" s="6">
        <v>79.107041558939002</v>
      </c>
      <c r="I18" s="12">
        <v>11057310.000000002</v>
      </c>
      <c r="J18" s="12">
        <f>Table1[[#This Row],[fluvial sediment load (m3/yr)]]/365/3600/24*1600</f>
        <v>561</v>
      </c>
      <c r="K18" s="8">
        <f>Table1[[#This Row],[delta plain depositional flux (m3/yr)]]/Table1[[#This Row],[fluvial sediment load (m3/yr)]]</f>
        <v>0.58479158713704471</v>
      </c>
      <c r="L18" t="s">
        <v>33</v>
      </c>
      <c r="M18" s="8"/>
      <c r="O18" s="2"/>
    </row>
    <row r="19" spans="1:15" x14ac:dyDescent="0.25">
      <c r="A19" t="s">
        <v>5</v>
      </c>
      <c r="B19">
        <v>1248635</v>
      </c>
      <c r="C19" s="7">
        <v>9000</v>
      </c>
      <c r="D19" s="7">
        <v>3100</v>
      </c>
      <c r="E19" s="6">
        <f>1000*F19/D19</f>
        <v>5.161290322580645</v>
      </c>
      <c r="F19" s="2">
        <f>12+4</f>
        <v>16</v>
      </c>
      <c r="G19" s="13">
        <f>1000000000*Table1[[#This Row],[delta plain sediment volume (km3)]]/Table1[[#This Row],[measurement timescale (yr)]]</f>
        <v>1777777.7777777778</v>
      </c>
      <c r="H19" s="7"/>
      <c r="I19" s="12">
        <v>2656250</v>
      </c>
      <c r="J19" s="12">
        <f>Table1[[#This Row],[fluvial sediment load (m3/yr)]]/365/3600/24*1600</f>
        <v>134.76661593099948</v>
      </c>
      <c r="K19" s="8">
        <f>Table1[[#This Row],[delta plain depositional flux (m3/yr)]]/Table1[[#This Row],[fluvial sediment load (m3/yr)]]</f>
        <v>0.66928104575163394</v>
      </c>
      <c r="L19" t="s">
        <v>33</v>
      </c>
      <c r="M19" s="8"/>
      <c r="O19" s="2"/>
    </row>
    <row r="20" spans="1:15" x14ac:dyDescent="0.25">
      <c r="A20" s="1" t="s">
        <v>31</v>
      </c>
      <c r="B20" s="1">
        <v>373644</v>
      </c>
      <c r="C20" s="7">
        <v>5000</v>
      </c>
      <c r="D20" s="7">
        <v>800</v>
      </c>
      <c r="E20" s="6">
        <v>7</v>
      </c>
      <c r="F20" s="7">
        <f>5600000000/1000000000</f>
        <v>5.6</v>
      </c>
      <c r="G20" s="13">
        <f>1000000000*Table1[[#This Row],[delta plain sediment volume (km3)]]/Table1[[#This Row],[measurement timescale (yr)]]</f>
        <v>1120000</v>
      </c>
      <c r="H20" s="7">
        <f>57000000000/1000000000</f>
        <v>57</v>
      </c>
      <c r="I20" s="12">
        <f>Table1[[#This Row],[fluvial sediment load (kg/s)]]/1500*365*24*3600</f>
        <v>11333333.333333332</v>
      </c>
      <c r="J20" s="12">
        <f>17000000000/365/24/3600</f>
        <v>539.06646372399791</v>
      </c>
      <c r="K20" s="8">
        <f>Table1[[#This Row],[delta plain depositional flux (m3/yr)]]/Table1[[#This Row],[fluvial sediment load (m3/yr)]]</f>
        <v>9.8823529411764713E-2</v>
      </c>
      <c r="L20" t="s">
        <v>33</v>
      </c>
      <c r="M20" s="8"/>
      <c r="O20" s="2"/>
    </row>
    <row r="21" spans="1:15" x14ac:dyDescent="0.25">
      <c r="A21" s="1" t="s">
        <v>18</v>
      </c>
      <c r="B21">
        <v>2296585</v>
      </c>
      <c r="C21" s="7">
        <v>6000</v>
      </c>
      <c r="D21" s="5">
        <v>175.39468579739525</v>
      </c>
      <c r="E21" s="6">
        <v>5</v>
      </c>
      <c r="F21" s="11">
        <f>Table1[[#This Row],[Delta plain area (km2)]]*Table1[[#This Row],[delta plain depth (m)]]/1000</f>
        <v>0.87697342898697628</v>
      </c>
      <c r="G21" s="13">
        <f>1000000000*Table1[[#This Row],[delta plain sediment volume (km3)]]/Table1[[#This Row],[measurement timescale (yr)]]</f>
        <v>146162.23816449606</v>
      </c>
      <c r="H21" s="6">
        <v>22.10875788405324</v>
      </c>
      <c r="I21" s="12">
        <v>3467078.9273174894</v>
      </c>
      <c r="J21" s="12">
        <f>Table1[[#This Row],[fluvial sediment load (m3/yr)]]/365/3600/24*1600</f>
        <v>175.90456252244999</v>
      </c>
      <c r="K21" s="8">
        <f>Table1[[#This Row],[delta plain sediment volume (km3)]]/Table1[[#This Row],[total delta sediment volume (km3)]]</f>
        <v>3.9666336462055418E-2</v>
      </c>
      <c r="L21" t="s">
        <v>34</v>
      </c>
      <c r="M21" s="8"/>
      <c r="O21" s="2"/>
    </row>
    <row r="22" spans="1:15" x14ac:dyDescent="0.25">
      <c r="A22" t="s">
        <v>6</v>
      </c>
      <c r="B22">
        <v>1766287</v>
      </c>
      <c r="C22" s="7">
        <v>7000</v>
      </c>
      <c r="D22" s="7">
        <v>127</v>
      </c>
      <c r="E22" s="6">
        <f>1000*F22/D22</f>
        <v>6.8897637795275593</v>
      </c>
      <c r="F22" s="2">
        <f>200000000*C22/1600/1000000000</f>
        <v>0.875</v>
      </c>
      <c r="G22" s="13">
        <f>1000000000*Table1[[#This Row],[delta plain sediment volume (km3)]]/Table1[[#This Row],[measurement timescale (yr)]]</f>
        <v>125000</v>
      </c>
      <c r="H22" s="7"/>
      <c r="I22" s="12">
        <v>1781249.9999999995</v>
      </c>
      <c r="J22" s="12">
        <f>Table1[[#This Row],[fluvial sediment load (m3/yr)]]/365/3600/24*1600</f>
        <v>90.372907153729059</v>
      </c>
      <c r="K22" s="8">
        <f>Table1[[#This Row],[delta plain depositional flux (m3/yr)]]/Table1[[#This Row],[fluvial sediment load (m3/yr)]]</f>
        <v>7.0175438596491252E-2</v>
      </c>
      <c r="L22" t="s">
        <v>33</v>
      </c>
      <c r="M22" s="2"/>
      <c r="O22" s="2"/>
    </row>
    <row r="23" spans="1:15" x14ac:dyDescent="0.25">
      <c r="A23" s="1" t="s">
        <v>26</v>
      </c>
      <c r="B23">
        <v>1780166</v>
      </c>
      <c r="C23" s="7">
        <v>8000</v>
      </c>
      <c r="D23" s="5">
        <v>21529.52064405059</v>
      </c>
      <c r="E23" s="6">
        <f>1000*F23/D23</f>
        <v>42.563883104997515</v>
      </c>
      <c r="F23" s="11">
        <v>916.38000000000011</v>
      </c>
      <c r="G23" s="13">
        <f>1000000000*Table1[[#This Row],[delta plain sediment volume (km3)]]/Table1[[#This Row],[measurement timescale (yr)]]</f>
        <v>114547500.00000001</v>
      </c>
      <c r="H23" s="6">
        <v>2404.2268944859638</v>
      </c>
      <c r="I23" s="12">
        <v>307495709.99999994</v>
      </c>
      <c r="J23" s="12">
        <f>Table1[[#This Row],[fluvial sediment load (m3/yr)]]/365/3600/24*1600</f>
        <v>15600.999999999996</v>
      </c>
      <c r="K23" s="8">
        <f>Table1[[#This Row],[delta plain sediment volume (km3)]]/Table1[[#This Row],[total delta sediment volume (km3)]]</f>
        <v>0.38115370978575086</v>
      </c>
      <c r="L23" t="s">
        <v>34</v>
      </c>
      <c r="O23" s="2"/>
    </row>
    <row r="24" spans="1:15" x14ac:dyDescent="0.25">
      <c r="O24" s="2"/>
    </row>
    <row r="25" spans="1:15" x14ac:dyDescent="0.25">
      <c r="O25" s="2"/>
    </row>
    <row r="26" spans="1:15" x14ac:dyDescent="0.25">
      <c r="I26" s="9"/>
      <c r="J26" s="9"/>
      <c r="O26" s="2"/>
    </row>
    <row r="27" spans="1:15" x14ac:dyDescent="0.25">
      <c r="I27" s="9"/>
      <c r="J27" s="9"/>
      <c r="O27" s="2"/>
    </row>
    <row r="28" spans="1:15" x14ac:dyDescent="0.25">
      <c r="I28" s="9"/>
      <c r="J28" s="9"/>
      <c r="O28" s="2"/>
    </row>
    <row r="29" spans="1:15" x14ac:dyDescent="0.25">
      <c r="I29" s="9"/>
      <c r="J29" s="9"/>
      <c r="O29" s="2"/>
    </row>
    <row r="30" spans="1:15" x14ac:dyDescent="0.25">
      <c r="I30" s="9"/>
      <c r="J30" s="9"/>
      <c r="O30" s="2"/>
    </row>
    <row r="31" spans="1:15" x14ac:dyDescent="0.25">
      <c r="I31" s="9"/>
      <c r="J31" s="9"/>
      <c r="O31" s="2"/>
    </row>
    <row r="32" spans="1:15" x14ac:dyDescent="0.25">
      <c r="I32" s="9"/>
      <c r="J32" s="9"/>
      <c r="O32" s="2"/>
    </row>
    <row r="33" spans="2:15" x14ac:dyDescent="0.25">
      <c r="I33" s="9"/>
      <c r="J33" s="9"/>
      <c r="O33" s="2"/>
    </row>
    <row r="34" spans="2:15" x14ac:dyDescent="0.25">
      <c r="I34" s="9"/>
      <c r="J34" s="9"/>
      <c r="O34" s="2"/>
    </row>
    <row r="35" spans="2:15" x14ac:dyDescent="0.25">
      <c r="B35" s="10"/>
      <c r="C35" s="10"/>
      <c r="D35" s="10"/>
      <c r="E35" s="8"/>
      <c r="I35" s="9"/>
      <c r="J35" s="9"/>
      <c r="O35" s="2"/>
    </row>
    <row r="36" spans="2:15" x14ac:dyDescent="0.25">
      <c r="B36" s="10"/>
      <c r="C36" s="10"/>
      <c r="D36" s="10"/>
      <c r="E36" s="8"/>
      <c r="I36" s="9"/>
      <c r="J36" s="9"/>
    </row>
    <row r="37" spans="2:15" x14ac:dyDescent="0.25">
      <c r="B37" s="10"/>
      <c r="C37" s="10"/>
      <c r="D37" s="10"/>
      <c r="E37" s="8"/>
      <c r="I37" s="9"/>
      <c r="J37" s="9"/>
    </row>
    <row r="38" spans="2:15" x14ac:dyDescent="0.25">
      <c r="B38" s="10"/>
      <c r="C38" s="10"/>
      <c r="D38" s="10"/>
      <c r="E38" s="8"/>
      <c r="I38" s="9"/>
      <c r="J38" s="9"/>
    </row>
    <row r="39" spans="2:15" x14ac:dyDescent="0.25">
      <c r="B39" s="10"/>
      <c r="C39" s="10"/>
      <c r="D39" s="10"/>
      <c r="E39" s="8"/>
      <c r="I39" s="9"/>
      <c r="J39" s="9"/>
    </row>
    <row r="40" spans="2:15" x14ac:dyDescent="0.25">
      <c r="I40" s="9"/>
      <c r="J40" s="9"/>
    </row>
    <row r="41" spans="2:15" x14ac:dyDescent="0.25">
      <c r="I41" s="9"/>
      <c r="J41" s="9"/>
    </row>
    <row r="42" spans="2:15" x14ac:dyDescent="0.25">
      <c r="I42" s="9"/>
      <c r="J42" s="9"/>
    </row>
    <row r="43" spans="2:15" x14ac:dyDescent="0.25">
      <c r="I43" s="9"/>
      <c r="J43" s="9"/>
    </row>
    <row r="44" spans="2:15" x14ac:dyDescent="0.25">
      <c r="I44" s="9"/>
      <c r="J44" s="9"/>
    </row>
    <row r="45" spans="2:15" x14ac:dyDescent="0.25">
      <c r="I45" s="9"/>
      <c r="J45" s="9"/>
    </row>
    <row r="46" spans="2:15" x14ac:dyDescent="0.25">
      <c r="E46" s="2"/>
      <c r="F46" s="2"/>
      <c r="I46" s="9"/>
      <c r="J46" s="9"/>
    </row>
    <row r="47" spans="2:15" x14ac:dyDescent="0.25">
      <c r="E47" s="2"/>
      <c r="F47" s="2"/>
      <c r="I47" s="9"/>
      <c r="J47" s="9"/>
    </row>
    <row r="48" spans="2:15" x14ac:dyDescent="0.25">
      <c r="E48" s="2"/>
      <c r="F48" s="2"/>
      <c r="I48" s="10"/>
      <c r="J48" s="10"/>
    </row>
    <row r="49" spans="5:10" x14ac:dyDescent="0.25">
      <c r="E49" s="2"/>
      <c r="F49" s="2"/>
      <c r="I49" s="10"/>
      <c r="J49" s="10"/>
    </row>
    <row r="50" spans="5:10" x14ac:dyDescent="0.25">
      <c r="E50" s="2"/>
      <c r="F50" s="2"/>
      <c r="I50" s="10"/>
      <c r="J50" s="10"/>
    </row>
    <row r="51" spans="5:10" x14ac:dyDescent="0.25">
      <c r="E51" s="2"/>
      <c r="F51" s="2"/>
      <c r="I51" s="10"/>
      <c r="J51" s="10"/>
    </row>
    <row r="52" spans="5:10" x14ac:dyDescent="0.25">
      <c r="E52" s="2"/>
      <c r="F52" s="2"/>
      <c r="I52" s="10"/>
      <c r="J52" s="10"/>
    </row>
    <row r="53" spans="5:10" x14ac:dyDescent="0.25">
      <c r="E53" s="2"/>
      <c r="F53" s="2"/>
      <c r="I53" s="10"/>
      <c r="J53" s="10"/>
    </row>
    <row r="54" spans="5:10" x14ac:dyDescent="0.25">
      <c r="E54" s="2"/>
      <c r="F54" s="2"/>
      <c r="I54" s="10"/>
      <c r="J54" s="10"/>
    </row>
    <row r="55" spans="5:10" x14ac:dyDescent="0.25">
      <c r="E55" s="2"/>
      <c r="F55" s="2"/>
      <c r="I55" s="10"/>
      <c r="J55" s="10"/>
    </row>
    <row r="56" spans="5:10" x14ac:dyDescent="0.25">
      <c r="E56" s="2"/>
      <c r="F56" s="2"/>
      <c r="I56" s="10"/>
      <c r="J56" s="10"/>
    </row>
    <row r="57" spans="5:10" x14ac:dyDescent="0.25">
      <c r="E57" s="2"/>
      <c r="F57" s="2"/>
      <c r="I57" s="10"/>
      <c r="J57" s="10"/>
    </row>
    <row r="58" spans="5:10" x14ac:dyDescent="0.25">
      <c r="E58" s="2"/>
      <c r="F58" s="2"/>
      <c r="I58" s="10"/>
      <c r="J58" s="10"/>
    </row>
    <row r="59" spans="5:10" x14ac:dyDescent="0.25">
      <c r="E59" s="2"/>
      <c r="F59" s="2"/>
      <c r="I59" s="10"/>
      <c r="J59" s="10"/>
    </row>
    <row r="60" spans="5:10" x14ac:dyDescent="0.25">
      <c r="E60" s="2"/>
      <c r="F60" s="2"/>
      <c r="I60" s="10"/>
      <c r="J60" s="10"/>
    </row>
    <row r="61" spans="5:10" x14ac:dyDescent="0.25">
      <c r="E61" s="2"/>
      <c r="F61" s="2"/>
      <c r="I61" s="10"/>
      <c r="J61" s="10"/>
    </row>
    <row r="62" spans="5:10" x14ac:dyDescent="0.25">
      <c r="E62" s="2"/>
      <c r="F62" s="2"/>
      <c r="I62" s="10"/>
      <c r="J62" s="10"/>
    </row>
    <row r="63" spans="5:10" x14ac:dyDescent="0.25">
      <c r="E63" s="2"/>
      <c r="F63" s="2"/>
      <c r="I63" s="10"/>
      <c r="J63" s="10"/>
    </row>
    <row r="64" spans="5:10" x14ac:dyDescent="0.25">
      <c r="E64" s="2"/>
      <c r="F64" s="2"/>
      <c r="I64" s="10"/>
      <c r="J64" s="10"/>
    </row>
    <row r="65" spans="5:10" x14ac:dyDescent="0.25">
      <c r="E65" s="2"/>
      <c r="F65" s="2"/>
      <c r="I65" s="10"/>
      <c r="J65" s="10"/>
    </row>
    <row r="66" spans="5:10" x14ac:dyDescent="0.25">
      <c r="I66" s="10"/>
      <c r="J66" s="10"/>
    </row>
    <row r="67" spans="5:10" x14ac:dyDescent="0.25">
      <c r="I67" s="10"/>
      <c r="J67" s="10"/>
    </row>
    <row r="68" spans="5:10" x14ac:dyDescent="0.25">
      <c r="I68" s="10"/>
      <c r="J68" s="10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Nienhuis, J.H. (Jaap)</cp:lastModifiedBy>
  <dcterms:created xsi:type="dcterms:W3CDTF">2015-06-05T18:17:20Z</dcterms:created>
  <dcterms:modified xsi:type="dcterms:W3CDTF">2026-04-07T13:26:36Z</dcterms:modified>
</cp:coreProperties>
</file>